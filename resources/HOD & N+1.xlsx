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vms\resources\"/>
    </mc:Choice>
  </mc:AlternateContent>
  <xr:revisionPtr revIDLastSave="0" documentId="13_ncr:1_{5D21E438-3296-486B-82BC-C1CECEBC93B9}" xr6:coauthVersionLast="47" xr6:coauthVersionMax="47" xr10:uidLastSave="{00000000-0000-0000-0000-000000000000}"/>
  <bookViews>
    <workbookView xWindow="-120" yWindow="-120" windowWidth="29040" windowHeight="15720" activeTab="1" xr2:uid="{C03F7CDF-22E0-4303-A95A-545AF0D8EBD4}"/>
  </bookViews>
  <sheets>
    <sheet name="HOD" sheetId="3" r:id="rId1"/>
    <sheet name="N+1" sheetId="2" r:id="rId2"/>
  </sheets>
  <definedNames>
    <definedName name="_xlnm._FilterDatabase" localSheetId="0" hidden="1">HOD!$B$1:$H$17</definedName>
    <definedName name="_xlnm._FilterDatabase" localSheetId="1" hidden="1">'N+1'!$B$1:$I$42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</calcChain>
</file>

<file path=xl/sharedStrings.xml><?xml version="1.0" encoding="utf-8"?>
<sst xmlns="http://schemas.openxmlformats.org/spreadsheetml/2006/main" count="299" uniqueCount="138">
  <si>
    <t>Sl.No</t>
  </si>
  <si>
    <t>Plant Name</t>
  </si>
  <si>
    <t>RCP</t>
  </si>
  <si>
    <t>Department</t>
  </si>
  <si>
    <t>HOD</t>
  </si>
  <si>
    <t>N+1</t>
  </si>
  <si>
    <t>ACCOUNTS</t>
  </si>
  <si>
    <t>CAPTIVE POWER PLANT &amp; WHRS</t>
  </si>
  <si>
    <t>CIVIL</t>
  </si>
  <si>
    <t>ELECTRICAL &amp; INSTRUMENTATION</t>
  </si>
  <si>
    <t>HR</t>
  </si>
  <si>
    <t>IM</t>
  </si>
  <si>
    <t>LOGISTICS</t>
  </si>
  <si>
    <t>MECHANICAL</t>
  </si>
  <si>
    <t xml:space="preserve">MINES </t>
  </si>
  <si>
    <t>OHC</t>
  </si>
  <si>
    <t>PACKING PLANT</t>
  </si>
  <si>
    <t>PLANT INVENTORY</t>
  </si>
  <si>
    <t>PRODUCTION</t>
  </si>
  <si>
    <t>QUALITY CONTROL</t>
  </si>
  <si>
    <t>SAFETY</t>
  </si>
  <si>
    <t>SECURITY</t>
  </si>
  <si>
    <t>SF Code</t>
  </si>
  <si>
    <t>Company Email ID</t>
  </si>
  <si>
    <t>mithilesh.kumar@nuvoco.com</t>
  </si>
  <si>
    <t>siddharth.vaishnav@nuvoco.com</t>
  </si>
  <si>
    <t>rishikesh.maurya@nuvoco.com</t>
  </si>
  <si>
    <t>jayprakash.dwivedi@nuvoco.com</t>
  </si>
  <si>
    <t>ashwani.khatri@nuvoco.com</t>
  </si>
  <si>
    <t>sanjeev.tiwari@nuvoco.com</t>
  </si>
  <si>
    <t>omprakash.kumar@nuvoco.com</t>
  </si>
  <si>
    <t>ramswarup.verma@nuvoco.com</t>
  </si>
  <si>
    <t>lalit.kashyap@nuvoco.com</t>
  </si>
  <si>
    <t>vikram.chandel@nuvoco.com</t>
  </si>
  <si>
    <t>atul.sinha@nuvoco.com</t>
  </si>
  <si>
    <t>sanjay.teli@nuvoco.com</t>
  </si>
  <si>
    <t>ajeet.pandey@nuvoco.com</t>
  </si>
  <si>
    <t>ashish.pandey@nuvoco.com</t>
  </si>
  <si>
    <t>ajay.dubey@nuvoco.com</t>
  </si>
  <si>
    <t>ravikant.tiwari@nuvoco.com</t>
  </si>
  <si>
    <t>rajkumar.patel@nuvoco.com</t>
  </si>
  <si>
    <t>santosh.gautam@nuvoco.com</t>
  </si>
  <si>
    <t>ajay.pathak@nuvoco.com</t>
  </si>
  <si>
    <t>brahmanand.tiwari@nuvoco.com</t>
  </si>
  <si>
    <t>abhay.sinha@nuvoco.com</t>
  </si>
  <si>
    <t>abhishek.verma@nuvoco.com</t>
  </si>
  <si>
    <t>yugal.deepak@nuvoco.com</t>
  </si>
  <si>
    <t>rajan.singh@nuvoco.com</t>
  </si>
  <si>
    <t>bikash.biswas@nuvoco.com</t>
  </si>
  <si>
    <t>satyendra.chouhan@nuvoco.com</t>
  </si>
  <si>
    <t>sandeep.shukla@nuvoco.com</t>
  </si>
  <si>
    <t>naseem.ahmed@nuvoco.com</t>
  </si>
  <si>
    <t>pramod.patwa@nuvoco.com</t>
  </si>
  <si>
    <t>mithilesh.choudhary@nuvoco.com</t>
  </si>
  <si>
    <t>avinash.meghwal@nuvoco.com</t>
  </si>
  <si>
    <t>mohsin.khan@nuvoco.com</t>
  </si>
  <si>
    <t>rohit.vishwakarma@nuvoco.com</t>
  </si>
  <si>
    <t>vivek.dadhe@nuvoco.com</t>
  </si>
  <si>
    <t>bajrang.shrivas@nuvoco.com</t>
  </si>
  <si>
    <t>bharat.kumar@nuvoco.com</t>
  </si>
  <si>
    <t>ramprasad.r@nuvoco.com</t>
  </si>
  <si>
    <t>dharmendra.rajak@nuvoco.com</t>
  </si>
  <si>
    <t>sanjeev.tripathi@nuvoco.com</t>
  </si>
  <si>
    <t>kamlesh.biswas@nuvoco.com</t>
  </si>
  <si>
    <t>pradeepkumar.n@nuvoco.com</t>
  </si>
  <si>
    <t>kaushalendra.singh@nuvoco.com</t>
  </si>
  <si>
    <t>rahul.sharma01@nuvoco.com</t>
  </si>
  <si>
    <t>dalbir.kapoor@nuvoco.com</t>
  </si>
  <si>
    <t>moloy.chatterjee@nuvoco.com</t>
  </si>
  <si>
    <t>tilak.pal@nuvoco.com</t>
  </si>
  <si>
    <t>chandrahas.yadav@nuvoco.com</t>
  </si>
  <si>
    <t>sushil.tiwari@nuvoco.com</t>
  </si>
  <si>
    <t>yogendra.singh01@nuvoco.com</t>
  </si>
  <si>
    <t>nilesh.dhakar@nuvoco.com</t>
  </si>
  <si>
    <t>aswini.pradhan@nuvoco.com</t>
  </si>
  <si>
    <t>shaileshkumar.parmar@nuvoco.com</t>
  </si>
  <si>
    <t>mukesh.swarnkar@nuvoco.com</t>
  </si>
  <si>
    <t>ankan.guha@nuvoco.com</t>
  </si>
  <si>
    <t>rupayan.sarkar@nuvoco.com</t>
  </si>
  <si>
    <t>subhajit.banerjee@nuvoco.com</t>
  </si>
  <si>
    <t>MITHILESH  KUMAR</t>
  </si>
  <si>
    <t>SIDDHARTH DEO VAISHNAV</t>
  </si>
  <si>
    <t>RISHIKESH  MAURYA</t>
  </si>
  <si>
    <t>JAY PRAKASH DWIVEDI</t>
  </si>
  <si>
    <t>ASHWANI  KHATRI</t>
  </si>
  <si>
    <t>SANJEEV KUMAR TIWARI</t>
  </si>
  <si>
    <t>OM PRAKASH KUMAR</t>
  </si>
  <si>
    <t>RAMSWARUP  VERMA</t>
  </si>
  <si>
    <t>LALIT  KUMAR KASHYAP</t>
  </si>
  <si>
    <t>VIKRAM DEV  SINGH CHANDEL</t>
  </si>
  <si>
    <t>ATUL  KUMAR SINHA</t>
  </si>
  <si>
    <t>SANJAY KUMAR TELI</t>
  </si>
  <si>
    <t>AJEET  KUMAR PANDEY</t>
  </si>
  <si>
    <t>ASHISH KUMAR PANDEY</t>
  </si>
  <si>
    <t>AJAY KUMAR DUBEY</t>
  </si>
  <si>
    <t>RAVI KANT TIWARI</t>
  </si>
  <si>
    <t>RAJKUMAR SINGH PATEL</t>
  </si>
  <si>
    <t>SANTOSH KUMAR GAUTAM</t>
  </si>
  <si>
    <t>AJAY KUMAR PATHAK</t>
  </si>
  <si>
    <t>BRAHMANAND  TIWARI</t>
  </si>
  <si>
    <t>ABHAY  SINHA</t>
  </si>
  <si>
    <t>ABHISHEK  VERMA</t>
  </si>
  <si>
    <t>YUGAL KISHOR DEEPAK</t>
  </si>
  <si>
    <t>RAJAN KUMAR SINGH</t>
  </si>
  <si>
    <t>BIKASH  BISWAS</t>
  </si>
  <si>
    <t>SATYENDRA SINGH CHOUHAN</t>
  </si>
  <si>
    <t>SANDEEP  SHUKLA</t>
  </si>
  <si>
    <t>MOHAMMED NASEEM AHMED</t>
  </si>
  <si>
    <t>PRAMOD KUMAR PATWA</t>
  </si>
  <si>
    <t>MITHILESH  CHOUDHARY</t>
  </si>
  <si>
    <t>AVINASH   MEGHWAL</t>
  </si>
  <si>
    <t>MOHSIN   KHAN</t>
  </si>
  <si>
    <t>ROHIT   VISHWAKARMA</t>
  </si>
  <si>
    <t>VIVEK  DADHE</t>
  </si>
  <si>
    <t>BAJRANG  SHRIVAS</t>
  </si>
  <si>
    <t>BHARAT  KUMAR</t>
  </si>
  <si>
    <t>RAMPRASAD  R.</t>
  </si>
  <si>
    <t>DHARMENDRA KUMAR RAJAK</t>
  </si>
  <si>
    <t>SANJEEV   TRIPATHI</t>
  </si>
  <si>
    <t>KAMLESH  KUMAR  BISWAS</t>
  </si>
  <si>
    <t>PRADEEP KUMAR N</t>
  </si>
  <si>
    <t>KAUSHALENDRA KUMAR SINGH</t>
  </si>
  <si>
    <t>RAHUL   SHARMA</t>
  </si>
  <si>
    <t>DALBIR SINGH KAPOOR</t>
  </si>
  <si>
    <t>MOLOY KUMAR CHATTERJEE</t>
  </si>
  <si>
    <t>TILAK  PAL</t>
  </si>
  <si>
    <t>CHANDRAHAS RAMNATH YADAV</t>
  </si>
  <si>
    <t>SUSHIL   TIWARI</t>
  </si>
  <si>
    <t>YOGENDRA   SINGH</t>
  </si>
  <si>
    <t>NILESH  DHAKAR</t>
  </si>
  <si>
    <t>ASWINI  PRADHAN</t>
  </si>
  <si>
    <t>SHAILESHKUMAR  RAMANBHAI PARMAR</t>
  </si>
  <si>
    <t>MUKESH KUMAR SWARNKAR</t>
  </si>
  <si>
    <t>ANKAN  GUHA</t>
  </si>
  <si>
    <t>RUPAYAN  SARKAR</t>
  </si>
  <si>
    <t>SUBHAJIT  BANERJEE</t>
  </si>
  <si>
    <t>Emp Name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</si>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</sst>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2" borderId="0" applyNumberFormat="0" applyFont="0" applyBorder="0" applyAlignment="0" applyProtection="0"/>
  </cellStyleXfs>
  <cellXfs count="14">
    <xf numFmtId="0" fontId="0" fillId="0" borderId="0" xfId="0"/>
    <xf numFmtId="0" fontId="4" fillId="0" borderId="1" xfId="0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2" applyFont="1" applyFill="1" applyBorder="1" applyAlignment="1">
      <alignment vertical="center"/>
    </xf>
    <xf numFmtId="0" fontId="5" fillId="0" borderId="1" xfId="2" applyFont="1" applyFill="1" applyBorder="1" applyAlignment="1">
      <alignment horizontal="left" vertic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 applyProtection="1">
      <alignment vertical="center"/>
      <protection locked="0"/>
    </xf>
    <xf numFmtId="0" fontId="2" fillId="0" borderId="0" xfId="0" applyFont="1"/>
    <xf numFmtId="0" fontId="5" fillId="0" borderId="1" xfId="0" applyFont="1" applyBorder="1" applyAlignment="1">
      <alignment horizontal="left"/>
    </xf>
    <xf numFmtId="0" fontId="5" fillId="0" borderId="1" xfId="1" applyFont="1" applyBorder="1" applyAlignment="1">
      <alignment horizontal="left" vertic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Normal 4" xfId="1" xr:uid="{EA48D3E7-BB79-407B-AFA8-AD591A5AF395}"/>
    <cellStyle name="Yellow" xfId="2" xr:uid="{EA0AA6C2-A05C-4CDA-AE00-36A1F5FDFFBE}"/>
  </cellStyles>
  <dxfs count="6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aileshkumar.parmar@nuvoco.com" TargetMode="External"/><Relationship Id="rId2" Type="http://schemas.openxmlformats.org/officeDocument/2006/relationships/hyperlink" Target="mailto:tilak.pal@nuvoco.com" TargetMode="External"/><Relationship Id="rId1" Type="http://schemas.openxmlformats.org/officeDocument/2006/relationships/hyperlink" Target="mailto:kamlesh.biswas@nuvoco.com" TargetMode="External"/><Relationship Id="rId4" Type="http://schemas.openxmlformats.org/officeDocument/2006/relationships/hyperlink" Target="mailto:bikash.biswas@nuvo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68F1-0613-4E48-9A98-9EE814C8AB42}">
  <dimension ref="B1:H17"/>
  <sheetViews>
    <sheetView topLeftCell="B1" workbookViewId="0">
      <selection activeCell="I2" sqref="I2:I15"/>
    </sheetView>
  </sheetViews>
  <sheetFormatPr defaultColWidth="9.7109375" defaultRowHeight="15" x14ac:dyDescent="0.25"/>
  <cols>
    <col min="2" max="2" width="9.5703125" bestFit="1" customWidth="1"/>
    <col min="3" max="3" width="12.85546875" bestFit="1" customWidth="1"/>
    <col min="4" max="4" width="7.140625" bestFit="1" customWidth="1"/>
    <col min="5" max="5" width="29.5703125" bestFit="1" customWidth="1"/>
    <col min="6" max="6" width="11.85546875" bestFit="1" customWidth="1"/>
    <col min="7" max="7" width="30.42578125" bestFit="1" customWidth="1"/>
    <col min="8" max="8" width="27.140625" bestFit="1" customWidth="1"/>
  </cols>
  <sheetData>
    <row r="1" spans="2:8" s="10" customFormat="1" x14ac:dyDescent="0.25">
      <c r="B1" s="7" t="s">
        <v>0</v>
      </c>
      <c r="C1" s="8" t="s">
        <v>1</v>
      </c>
      <c r="D1" s="8" t="s">
        <v>137</v>
      </c>
      <c r="E1" s="9" t="s">
        <v>3</v>
      </c>
      <c r="F1" s="1" t="s">
        <v>22</v>
      </c>
      <c r="G1" s="1" t="s">
        <v>23</v>
      </c>
      <c r="H1" s="1" t="s">
        <v>136</v>
      </c>
    </row>
    <row r="2" spans="2:8" x14ac:dyDescent="0.25">
      <c r="B2" s="7">
        <v>1</v>
      </c>
      <c r="C2" s="11" t="s">
        <v>2</v>
      </c>
      <c r="D2" s="11" t="s">
        <v>4</v>
      </c>
      <c r="E2" s="3" t="s">
        <v>6</v>
      </c>
      <c r="F2" s="12">
        <v>30004460</v>
      </c>
      <c r="G2" s="3" t="s">
        <v>66</v>
      </c>
      <c r="H2" s="5" t="s">
        <v>122</v>
      </c>
    </row>
    <row r="3" spans="2:8" x14ac:dyDescent="0.25">
      <c r="B3" s="7">
        <f>B2+1</f>
        <v>2</v>
      </c>
      <c r="C3" s="11" t="s">
        <v>2</v>
      </c>
      <c r="D3" s="11" t="s">
        <v>4</v>
      </c>
      <c r="E3" s="3" t="s">
        <v>7</v>
      </c>
      <c r="F3" s="12">
        <v>30008419</v>
      </c>
      <c r="G3" s="3" t="s">
        <v>33</v>
      </c>
      <c r="H3" s="5" t="s">
        <v>89</v>
      </c>
    </row>
    <row r="4" spans="2:8" x14ac:dyDescent="0.25">
      <c r="B4" s="7">
        <f t="shared" ref="B4:B17" si="0">B3+1</f>
        <v>3</v>
      </c>
      <c r="C4" s="11" t="s">
        <v>2</v>
      </c>
      <c r="D4" s="11" t="s">
        <v>4</v>
      </c>
      <c r="E4" s="3" t="s">
        <v>9</v>
      </c>
      <c r="F4" s="12">
        <v>30008612</v>
      </c>
      <c r="G4" s="3" t="s">
        <v>40</v>
      </c>
      <c r="H4" s="5" t="s">
        <v>96</v>
      </c>
    </row>
    <row r="5" spans="2:8" x14ac:dyDescent="0.25">
      <c r="B5" s="7">
        <f t="shared" si="0"/>
        <v>4</v>
      </c>
      <c r="C5" s="11" t="s">
        <v>2</v>
      </c>
      <c r="D5" s="11" t="s">
        <v>4</v>
      </c>
      <c r="E5" s="3" t="s">
        <v>10</v>
      </c>
      <c r="F5" s="12">
        <v>30010957</v>
      </c>
      <c r="G5" s="3" t="s">
        <v>65</v>
      </c>
      <c r="H5" s="5" t="s">
        <v>121</v>
      </c>
    </row>
    <row r="6" spans="2:8" x14ac:dyDescent="0.25">
      <c r="B6" s="7">
        <f t="shared" si="0"/>
        <v>5</v>
      </c>
      <c r="C6" s="11" t="s">
        <v>2</v>
      </c>
      <c r="D6" s="11" t="s">
        <v>4</v>
      </c>
      <c r="E6" s="3" t="s">
        <v>11</v>
      </c>
      <c r="F6" s="12">
        <v>30002410</v>
      </c>
      <c r="G6" s="3" t="s">
        <v>68</v>
      </c>
      <c r="H6" s="5" t="s">
        <v>124</v>
      </c>
    </row>
    <row r="7" spans="2:8" x14ac:dyDescent="0.25">
      <c r="B7" s="7">
        <f t="shared" si="0"/>
        <v>6</v>
      </c>
      <c r="C7" s="11" t="s">
        <v>2</v>
      </c>
      <c r="D7" s="11" t="s">
        <v>4</v>
      </c>
      <c r="E7" s="3" t="s">
        <v>12</v>
      </c>
      <c r="F7" s="12">
        <v>30011507</v>
      </c>
      <c r="G7" s="3" t="s">
        <v>71</v>
      </c>
      <c r="H7" s="5" t="s">
        <v>127</v>
      </c>
    </row>
    <row r="8" spans="2:8" x14ac:dyDescent="0.25">
      <c r="B8" s="7">
        <f t="shared" si="0"/>
        <v>7</v>
      </c>
      <c r="C8" s="11" t="s">
        <v>2</v>
      </c>
      <c r="D8" s="11" t="s">
        <v>4</v>
      </c>
      <c r="E8" s="3" t="s">
        <v>13</v>
      </c>
      <c r="F8" s="12">
        <v>30008656</v>
      </c>
      <c r="G8" s="3" t="s">
        <v>61</v>
      </c>
      <c r="H8" s="5" t="s">
        <v>117</v>
      </c>
    </row>
    <row r="9" spans="2:8" x14ac:dyDescent="0.25">
      <c r="B9" s="7">
        <f t="shared" si="0"/>
        <v>8</v>
      </c>
      <c r="C9" s="11" t="s">
        <v>2</v>
      </c>
      <c r="D9" s="11" t="s">
        <v>4</v>
      </c>
      <c r="E9" s="3" t="s">
        <v>8</v>
      </c>
      <c r="F9" s="12">
        <v>30008656</v>
      </c>
      <c r="G9" s="3" t="s">
        <v>61</v>
      </c>
      <c r="H9" s="5" t="s">
        <v>117</v>
      </c>
    </row>
    <row r="10" spans="2:8" x14ac:dyDescent="0.25">
      <c r="B10" s="7">
        <f t="shared" si="0"/>
        <v>9</v>
      </c>
      <c r="C10" s="11" t="s">
        <v>2</v>
      </c>
      <c r="D10" s="11" t="s">
        <v>4</v>
      </c>
      <c r="E10" s="3" t="s">
        <v>14</v>
      </c>
      <c r="F10" s="12">
        <v>30010514</v>
      </c>
      <c r="G10" s="3" t="s">
        <v>62</v>
      </c>
      <c r="H10" s="5" t="s">
        <v>118</v>
      </c>
    </row>
    <row r="11" spans="2:8" x14ac:dyDescent="0.25">
      <c r="B11" s="7">
        <f t="shared" si="0"/>
        <v>10</v>
      </c>
      <c r="C11" s="11" t="s">
        <v>2</v>
      </c>
      <c r="D11" s="11" t="s">
        <v>4</v>
      </c>
      <c r="E11" s="3" t="s">
        <v>15</v>
      </c>
      <c r="F11" s="12">
        <v>30008525</v>
      </c>
      <c r="G11" s="3" t="s">
        <v>36</v>
      </c>
      <c r="H11" s="5" t="s">
        <v>92</v>
      </c>
    </row>
    <row r="12" spans="2:8" x14ac:dyDescent="0.25">
      <c r="B12" s="7">
        <f t="shared" si="0"/>
        <v>11</v>
      </c>
      <c r="C12" s="11" t="s">
        <v>2</v>
      </c>
      <c r="D12" s="11" t="s">
        <v>4</v>
      </c>
      <c r="E12" s="3" t="s">
        <v>16</v>
      </c>
      <c r="F12" s="12">
        <v>30008571</v>
      </c>
      <c r="G12" s="3" t="s">
        <v>37</v>
      </c>
      <c r="H12" s="5" t="s">
        <v>93</v>
      </c>
    </row>
    <row r="13" spans="2:8" x14ac:dyDescent="0.25">
      <c r="B13" s="7">
        <f t="shared" si="0"/>
        <v>12</v>
      </c>
      <c r="C13" s="11" t="s">
        <v>2</v>
      </c>
      <c r="D13" s="11" t="s">
        <v>4</v>
      </c>
      <c r="E13" s="3" t="s">
        <v>17</v>
      </c>
      <c r="F13" s="12">
        <v>30008401</v>
      </c>
      <c r="G13" s="3" t="s">
        <v>31</v>
      </c>
      <c r="H13" s="5" t="s">
        <v>87</v>
      </c>
    </row>
    <row r="14" spans="2:8" x14ac:dyDescent="0.25">
      <c r="B14" s="7">
        <f t="shared" si="0"/>
        <v>13</v>
      </c>
      <c r="C14" s="11" t="s">
        <v>2</v>
      </c>
      <c r="D14" s="11" t="s">
        <v>4</v>
      </c>
      <c r="E14" s="3" t="s">
        <v>18</v>
      </c>
      <c r="F14" s="12">
        <v>30008500</v>
      </c>
      <c r="G14" s="3" t="s">
        <v>79</v>
      </c>
      <c r="H14" s="5" t="s">
        <v>135</v>
      </c>
    </row>
    <row r="15" spans="2:8" x14ac:dyDescent="0.25">
      <c r="B15" s="7">
        <f t="shared" si="0"/>
        <v>14</v>
      </c>
      <c r="C15" s="11" t="s">
        <v>2</v>
      </c>
      <c r="D15" s="11" t="s">
        <v>4</v>
      </c>
      <c r="E15" s="3" t="s">
        <v>19</v>
      </c>
      <c r="F15" s="12">
        <v>30009017</v>
      </c>
      <c r="G15" s="3" t="s">
        <v>53</v>
      </c>
      <c r="H15" s="5" t="s">
        <v>109</v>
      </c>
    </row>
    <row r="16" spans="2:8" x14ac:dyDescent="0.25">
      <c r="B16" s="7">
        <f t="shared" si="0"/>
        <v>15</v>
      </c>
      <c r="C16" s="11" t="s">
        <v>2</v>
      </c>
      <c r="D16" s="11" t="s">
        <v>4</v>
      </c>
      <c r="E16" s="3" t="s">
        <v>20</v>
      </c>
      <c r="F16" s="12">
        <v>30006677</v>
      </c>
      <c r="G16" s="3" t="s">
        <v>78</v>
      </c>
      <c r="H16" s="5" t="s">
        <v>134</v>
      </c>
    </row>
    <row r="17" spans="2:8" x14ac:dyDescent="0.25">
      <c r="B17" s="7">
        <f t="shared" si="0"/>
        <v>16</v>
      </c>
      <c r="C17" s="11" t="s">
        <v>2</v>
      </c>
      <c r="D17" s="11" t="s">
        <v>4</v>
      </c>
      <c r="E17" s="3" t="s">
        <v>21</v>
      </c>
      <c r="F17" s="12">
        <v>30008786</v>
      </c>
      <c r="G17" s="3" t="s">
        <v>47</v>
      </c>
      <c r="H17" s="5" t="s">
        <v>103</v>
      </c>
    </row>
  </sheetData>
  <autoFilter ref="B1:H17" xr:uid="{CD7168F1-0613-4E48-9A98-9EE814C8AB42}"/>
  <conditionalFormatting sqref="F1:F17">
    <cfRule type="expression" dxfId="5" priority="3" stopIfTrue="1">
      <formula>AND(COUNTIF($B$1:$B$32, F1)+COUNTIF($B$33:$B$65358, F1)&gt;1,NOT(ISBLANK(F1)))</formula>
    </cfRule>
  </conditionalFormatting>
  <conditionalFormatting sqref="G1">
    <cfRule type="expression" dxfId="4" priority="1" stopIfTrue="1">
      <formula>AND(COUNTIF(#REF!,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G1)&gt;1,NOT(ISBLANK(G1)))</formula>
    </cfRule>
  </conditionalFormatting>
  <conditionalFormatting sqref="G2:G17">
    <cfRule type="expression" dxfId="3" priority="243" stopIfTrue="1">
      <formula>AND(COUNTIF(#REF!, G2)+COUNTIF(#REF!, G2)&gt;1,NOT(ISBLANK(G2)))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2398-9C37-4387-BD38-014652A57577}">
  <dimension ref="B1:H42"/>
  <sheetViews>
    <sheetView tabSelected="1" workbookViewId="0">
      <selection activeCell="N12" sqref="N12"/>
    </sheetView>
  </sheetViews>
  <sheetFormatPr defaultRowHeight="15" x14ac:dyDescent="0.25"/>
  <cols>
    <col min="2" max="2" width="7.42578125" style="13" bestFit="1" customWidth="1"/>
    <col min="3" max="3" width="12.5703125" bestFit="1" customWidth="1"/>
    <col min="5" max="5" width="29.5703125" bestFit="1" customWidth="1"/>
    <col min="7" max="7" width="32.42578125" bestFit="1" customWidth="1"/>
    <col min="8" max="8" width="34.7109375" bestFit="1" customWidth="1"/>
  </cols>
  <sheetData>
    <row r="1" spans="2:8" s="10" customFormat="1" x14ac:dyDescent="0.25">
      <c r="B1" s="7" t="s">
        <v>0</v>
      </c>
      <c r="C1" s="8" t="s">
        <v>1</v>
      </c>
      <c r="D1" s="8" t="s">
        <v>137</v>
      </c>
      <c r="E1" s="1" t="s">
        <v>3</v>
      </c>
      <c r="F1" s="1" t="s">
        <v>22</v>
      </c>
      <c r="G1" s="1" t="s">
        <v>23</v>
      </c>
      <c r="H1" s="1" t="s">
        <v>136</v>
      </c>
    </row>
    <row r="2" spans="2:8" x14ac:dyDescent="0.25">
      <c r="B2" s="7">
        <v>1</v>
      </c>
      <c r="C2" s="6" t="s">
        <v>2</v>
      </c>
      <c r="D2" s="6" t="s">
        <v>5</v>
      </c>
      <c r="E2" s="3" t="s">
        <v>6</v>
      </c>
      <c r="F2" s="2">
        <v>30008927</v>
      </c>
      <c r="G2" s="3" t="s">
        <v>51</v>
      </c>
      <c r="H2" s="4" t="s">
        <v>107</v>
      </c>
    </row>
    <row r="3" spans="2:8" x14ac:dyDescent="0.25">
      <c r="B3" s="7">
        <f t="shared" ref="B3:B42" si="0">B2+1</f>
        <v>2</v>
      </c>
      <c r="C3" s="6" t="s">
        <v>2</v>
      </c>
      <c r="D3" s="6" t="s">
        <v>5</v>
      </c>
      <c r="E3" s="3" t="s">
        <v>6</v>
      </c>
      <c r="F3" s="2">
        <v>30009711</v>
      </c>
      <c r="G3" s="3" t="s">
        <v>59</v>
      </c>
      <c r="H3" s="4" t="s">
        <v>115</v>
      </c>
    </row>
    <row r="4" spans="2:8" x14ac:dyDescent="0.25">
      <c r="B4" s="7">
        <f t="shared" si="0"/>
        <v>3</v>
      </c>
      <c r="C4" s="6" t="s">
        <v>2</v>
      </c>
      <c r="D4" s="6" t="s">
        <v>5</v>
      </c>
      <c r="E4" s="3" t="s">
        <v>7</v>
      </c>
      <c r="F4" s="2">
        <v>30008468</v>
      </c>
      <c r="G4" s="3" t="s">
        <v>34</v>
      </c>
      <c r="H4" s="4" t="s">
        <v>90</v>
      </c>
    </row>
    <row r="5" spans="2:8" x14ac:dyDescent="0.25">
      <c r="B5" s="7">
        <f t="shared" si="0"/>
        <v>4</v>
      </c>
      <c r="C5" s="6" t="s">
        <v>2</v>
      </c>
      <c r="D5" s="6" t="s">
        <v>5</v>
      </c>
      <c r="E5" s="3" t="s">
        <v>7</v>
      </c>
      <c r="F5" s="2">
        <v>30008769</v>
      </c>
      <c r="G5" s="3" t="s">
        <v>46</v>
      </c>
      <c r="H5" s="4" t="s">
        <v>102</v>
      </c>
    </row>
    <row r="6" spans="2:8" x14ac:dyDescent="0.25">
      <c r="B6" s="7">
        <f t="shared" si="0"/>
        <v>5</v>
      </c>
      <c r="C6" s="6" t="s">
        <v>2</v>
      </c>
      <c r="D6" s="6" t="s">
        <v>5</v>
      </c>
      <c r="E6" s="3" t="s">
        <v>7</v>
      </c>
      <c r="F6" s="2">
        <v>30006033</v>
      </c>
      <c r="G6" s="3" t="s">
        <v>56</v>
      </c>
      <c r="H6" s="4" t="s">
        <v>112</v>
      </c>
    </row>
    <row r="7" spans="2:8" x14ac:dyDescent="0.25">
      <c r="B7" s="7">
        <f t="shared" si="0"/>
        <v>6</v>
      </c>
      <c r="C7" s="6" t="s">
        <v>2</v>
      </c>
      <c r="D7" s="6" t="s">
        <v>5</v>
      </c>
      <c r="E7" s="3" t="s">
        <v>8</v>
      </c>
      <c r="F7" s="2">
        <v>30008646</v>
      </c>
      <c r="G7" s="3" t="s">
        <v>41</v>
      </c>
      <c r="H7" s="4" t="s">
        <v>97</v>
      </c>
    </row>
    <row r="8" spans="2:8" x14ac:dyDescent="0.25">
      <c r="B8" s="7">
        <f t="shared" si="0"/>
        <v>7</v>
      </c>
      <c r="C8" s="6" t="s">
        <v>2</v>
      </c>
      <c r="D8" s="6" t="s">
        <v>5</v>
      </c>
      <c r="E8" s="3" t="s">
        <v>8</v>
      </c>
      <c r="F8" s="2">
        <v>30008894</v>
      </c>
      <c r="G8" s="3" t="s">
        <v>49</v>
      </c>
      <c r="H8" s="4" t="s">
        <v>105</v>
      </c>
    </row>
    <row r="9" spans="2:8" x14ac:dyDescent="0.25">
      <c r="B9" s="7">
        <f t="shared" si="0"/>
        <v>8</v>
      </c>
      <c r="C9" s="6" t="s">
        <v>2</v>
      </c>
      <c r="D9" s="6" t="s">
        <v>5</v>
      </c>
      <c r="E9" s="3" t="s">
        <v>9</v>
      </c>
      <c r="F9" s="2">
        <v>30008377</v>
      </c>
      <c r="G9" s="3" t="s">
        <v>28</v>
      </c>
      <c r="H9" s="4" t="s">
        <v>84</v>
      </c>
    </row>
    <row r="10" spans="2:8" x14ac:dyDescent="0.25">
      <c r="B10" s="7">
        <f t="shared" si="0"/>
        <v>9</v>
      </c>
      <c r="C10" s="6" t="s">
        <v>2</v>
      </c>
      <c r="D10" s="6" t="s">
        <v>5</v>
      </c>
      <c r="E10" s="3" t="s">
        <v>9</v>
      </c>
      <c r="F10" s="2">
        <v>30008381</v>
      </c>
      <c r="G10" s="3" t="s">
        <v>29</v>
      </c>
      <c r="H10" s="4" t="s">
        <v>85</v>
      </c>
    </row>
    <row r="11" spans="2:8" x14ac:dyDescent="0.25">
      <c r="B11" s="7">
        <f t="shared" si="0"/>
        <v>10</v>
      </c>
      <c r="C11" s="6" t="s">
        <v>2</v>
      </c>
      <c r="D11" s="6" t="s">
        <v>5</v>
      </c>
      <c r="E11" s="3" t="s">
        <v>9</v>
      </c>
      <c r="F11" s="2">
        <v>30008503</v>
      </c>
      <c r="G11" s="3" t="s">
        <v>35</v>
      </c>
      <c r="H11" s="4" t="s">
        <v>91</v>
      </c>
    </row>
    <row r="12" spans="2:8" x14ac:dyDescent="0.25">
      <c r="B12" s="7">
        <f t="shared" si="0"/>
        <v>11</v>
      </c>
      <c r="C12" s="6" t="s">
        <v>2</v>
      </c>
      <c r="D12" s="6" t="s">
        <v>5</v>
      </c>
      <c r="E12" s="3" t="s">
        <v>9</v>
      </c>
      <c r="F12" s="2">
        <v>30008664</v>
      </c>
      <c r="G12" s="3" t="s">
        <v>42</v>
      </c>
      <c r="H12" s="4" t="s">
        <v>98</v>
      </c>
    </row>
    <row r="13" spans="2:8" x14ac:dyDescent="0.25">
      <c r="B13" s="7">
        <f t="shared" si="0"/>
        <v>12</v>
      </c>
      <c r="C13" s="6" t="s">
        <v>2</v>
      </c>
      <c r="D13" s="6" t="s">
        <v>5</v>
      </c>
      <c r="E13" s="3" t="s">
        <v>10</v>
      </c>
      <c r="F13" s="2">
        <v>30008367</v>
      </c>
      <c r="G13" s="3" t="s">
        <v>26</v>
      </c>
      <c r="H13" s="4" t="s">
        <v>82</v>
      </c>
    </row>
    <row r="14" spans="2:8" x14ac:dyDescent="0.25">
      <c r="B14" s="7">
        <f t="shared" si="0"/>
        <v>13</v>
      </c>
      <c r="C14" s="6" t="s">
        <v>2</v>
      </c>
      <c r="D14" s="6" t="s">
        <v>5</v>
      </c>
      <c r="E14" s="3" t="s">
        <v>10</v>
      </c>
      <c r="F14" s="2">
        <v>30008360</v>
      </c>
      <c r="G14" s="3" t="s">
        <v>25</v>
      </c>
      <c r="H14" s="4" t="s">
        <v>81</v>
      </c>
    </row>
    <row r="15" spans="2:8" x14ac:dyDescent="0.25">
      <c r="B15" s="7">
        <f t="shared" si="0"/>
        <v>14</v>
      </c>
      <c r="C15" s="6" t="s">
        <v>2</v>
      </c>
      <c r="D15" s="6" t="s">
        <v>5</v>
      </c>
      <c r="E15" s="3" t="s">
        <v>10</v>
      </c>
      <c r="F15" s="2">
        <v>30008575</v>
      </c>
      <c r="G15" s="3" t="s">
        <v>38</v>
      </c>
      <c r="H15" s="4" t="s">
        <v>94</v>
      </c>
    </row>
    <row r="16" spans="2:8" x14ac:dyDescent="0.25">
      <c r="B16" s="7">
        <f t="shared" si="0"/>
        <v>15</v>
      </c>
      <c r="C16" s="6" t="s">
        <v>2</v>
      </c>
      <c r="D16" s="6" t="s">
        <v>5</v>
      </c>
      <c r="E16" s="3" t="s">
        <v>10</v>
      </c>
      <c r="F16" s="2">
        <v>30009310</v>
      </c>
      <c r="G16" s="3" t="s">
        <v>55</v>
      </c>
      <c r="H16" s="4" t="s">
        <v>111</v>
      </c>
    </row>
    <row r="17" spans="2:8" x14ac:dyDescent="0.25">
      <c r="B17" s="7">
        <f t="shared" si="0"/>
        <v>16</v>
      </c>
      <c r="C17" s="6" t="s">
        <v>2</v>
      </c>
      <c r="D17" s="6" t="s">
        <v>5</v>
      </c>
      <c r="E17" s="3" t="s">
        <v>10</v>
      </c>
      <c r="F17" s="2">
        <v>30011904</v>
      </c>
      <c r="G17" s="3" t="s">
        <v>73</v>
      </c>
      <c r="H17" s="4" t="s">
        <v>129</v>
      </c>
    </row>
    <row r="18" spans="2:8" x14ac:dyDescent="0.25">
      <c r="B18" s="7">
        <f t="shared" si="0"/>
        <v>17</v>
      </c>
      <c r="C18" s="6" t="s">
        <v>2</v>
      </c>
      <c r="D18" s="6" t="s">
        <v>5</v>
      </c>
      <c r="E18" s="3" t="s">
        <v>11</v>
      </c>
      <c r="F18" s="2">
        <v>30010549</v>
      </c>
      <c r="G18" s="3" t="s">
        <v>69</v>
      </c>
      <c r="H18" s="4" t="s">
        <v>125</v>
      </c>
    </row>
    <row r="19" spans="2:8" x14ac:dyDescent="0.25">
      <c r="B19" s="7">
        <f t="shared" si="0"/>
        <v>18</v>
      </c>
      <c r="C19" s="6" t="s">
        <v>2</v>
      </c>
      <c r="D19" s="6" t="s">
        <v>5</v>
      </c>
      <c r="E19" s="3" t="s">
        <v>12</v>
      </c>
      <c r="F19" s="2">
        <v>30008686</v>
      </c>
      <c r="G19" s="3" t="s">
        <v>44</v>
      </c>
      <c r="H19" s="4" t="s">
        <v>100</v>
      </c>
    </row>
    <row r="20" spans="2:8" x14ac:dyDescent="0.25">
      <c r="B20" s="7">
        <f t="shared" si="0"/>
        <v>19</v>
      </c>
      <c r="C20" s="6" t="s">
        <v>2</v>
      </c>
      <c r="D20" s="6" t="s">
        <v>5</v>
      </c>
      <c r="E20" s="3" t="s">
        <v>12</v>
      </c>
      <c r="F20" s="2">
        <v>30008403</v>
      </c>
      <c r="G20" s="3" t="s">
        <v>32</v>
      </c>
      <c r="H20" s="4" t="s">
        <v>88</v>
      </c>
    </row>
    <row r="21" spans="2:8" x14ac:dyDescent="0.25">
      <c r="B21" s="7">
        <f t="shared" si="0"/>
        <v>20</v>
      </c>
      <c r="C21" s="6" t="s">
        <v>2</v>
      </c>
      <c r="D21" s="6" t="s">
        <v>5</v>
      </c>
      <c r="E21" s="3" t="s">
        <v>12</v>
      </c>
      <c r="F21" s="2">
        <v>30010896</v>
      </c>
      <c r="G21" s="3" t="s">
        <v>77</v>
      </c>
      <c r="H21" s="4" t="s">
        <v>133</v>
      </c>
    </row>
    <row r="22" spans="2:8" x14ac:dyDescent="0.25">
      <c r="B22" s="7">
        <f t="shared" si="0"/>
        <v>21</v>
      </c>
      <c r="C22" s="6" t="s">
        <v>2</v>
      </c>
      <c r="D22" s="6" t="s">
        <v>5</v>
      </c>
      <c r="E22" s="3" t="s">
        <v>13</v>
      </c>
      <c r="F22" s="2">
        <v>30008837</v>
      </c>
      <c r="G22" s="3" t="s">
        <v>48</v>
      </c>
      <c r="H22" s="4" t="s">
        <v>104</v>
      </c>
    </row>
    <row r="23" spans="2:8" x14ac:dyDescent="0.25">
      <c r="B23" s="7">
        <f t="shared" si="0"/>
        <v>22</v>
      </c>
      <c r="C23" s="6" t="s">
        <v>2</v>
      </c>
      <c r="D23" s="6" t="s">
        <v>5</v>
      </c>
      <c r="E23" s="3" t="s">
        <v>13</v>
      </c>
      <c r="F23" s="2">
        <v>30008397</v>
      </c>
      <c r="G23" s="3" t="s">
        <v>30</v>
      </c>
      <c r="H23" s="4" t="s">
        <v>86</v>
      </c>
    </row>
    <row r="24" spans="2:8" x14ac:dyDescent="0.25">
      <c r="B24" s="7">
        <f t="shared" si="0"/>
        <v>23</v>
      </c>
      <c r="C24" s="6" t="s">
        <v>2</v>
      </c>
      <c r="D24" s="6" t="s">
        <v>5</v>
      </c>
      <c r="E24" s="3" t="s">
        <v>13</v>
      </c>
      <c r="F24" s="2">
        <v>30008357</v>
      </c>
      <c r="G24" s="3" t="s">
        <v>24</v>
      </c>
      <c r="H24" s="4" t="s">
        <v>80</v>
      </c>
    </row>
    <row r="25" spans="2:8" x14ac:dyDescent="0.25">
      <c r="B25" s="7">
        <f t="shared" si="0"/>
        <v>24</v>
      </c>
      <c r="C25" s="6" t="s">
        <v>2</v>
      </c>
      <c r="D25" s="6" t="s">
        <v>5</v>
      </c>
      <c r="E25" s="3" t="s">
        <v>13</v>
      </c>
      <c r="F25" s="2">
        <v>30009654</v>
      </c>
      <c r="G25" s="3" t="s">
        <v>57</v>
      </c>
      <c r="H25" s="4" t="s">
        <v>113</v>
      </c>
    </row>
    <row r="26" spans="2:8" x14ac:dyDescent="0.25">
      <c r="B26" s="7">
        <f t="shared" si="0"/>
        <v>25</v>
      </c>
      <c r="C26" s="6" t="s">
        <v>2</v>
      </c>
      <c r="D26" s="6" t="s">
        <v>5</v>
      </c>
      <c r="E26" s="3" t="s">
        <v>14</v>
      </c>
      <c r="F26" s="2">
        <v>30008368</v>
      </c>
      <c r="G26" s="3" t="s">
        <v>27</v>
      </c>
      <c r="H26" s="4" t="s">
        <v>83</v>
      </c>
    </row>
    <row r="27" spans="2:8" x14ac:dyDescent="0.25">
      <c r="B27" s="7">
        <f t="shared" si="0"/>
        <v>26</v>
      </c>
      <c r="C27" s="6" t="s">
        <v>2</v>
      </c>
      <c r="D27" s="6" t="s">
        <v>5</v>
      </c>
      <c r="E27" s="3" t="s">
        <v>14</v>
      </c>
      <c r="F27" s="2">
        <v>30009694</v>
      </c>
      <c r="G27" s="3" t="s">
        <v>58</v>
      </c>
      <c r="H27" s="4" t="s">
        <v>114</v>
      </c>
    </row>
    <row r="28" spans="2:8" x14ac:dyDescent="0.25">
      <c r="B28" s="7">
        <f t="shared" si="0"/>
        <v>27</v>
      </c>
      <c r="C28" s="6" t="s">
        <v>2</v>
      </c>
      <c r="D28" s="6" t="s">
        <v>5</v>
      </c>
      <c r="E28" s="3" t="s">
        <v>14</v>
      </c>
      <c r="F28" s="2">
        <v>30004520</v>
      </c>
      <c r="G28" s="3" t="s">
        <v>67</v>
      </c>
      <c r="H28" s="4" t="s">
        <v>123</v>
      </c>
    </row>
    <row r="29" spans="2:8" x14ac:dyDescent="0.25">
      <c r="B29" s="7">
        <f t="shared" si="0"/>
        <v>28</v>
      </c>
      <c r="C29" s="6" t="s">
        <v>2</v>
      </c>
      <c r="D29" s="6" t="s">
        <v>5</v>
      </c>
      <c r="E29" s="3" t="s">
        <v>15</v>
      </c>
      <c r="F29" s="2">
        <v>30010839</v>
      </c>
      <c r="G29" s="3" t="s">
        <v>63</v>
      </c>
      <c r="H29" s="4" t="s">
        <v>119</v>
      </c>
    </row>
    <row r="30" spans="2:8" x14ac:dyDescent="0.25">
      <c r="B30" s="7">
        <f t="shared" si="0"/>
        <v>29</v>
      </c>
      <c r="C30" s="6" t="s">
        <v>2</v>
      </c>
      <c r="D30" s="6" t="s">
        <v>5</v>
      </c>
      <c r="E30" s="3" t="s">
        <v>16</v>
      </c>
      <c r="F30" s="2">
        <v>30006050</v>
      </c>
      <c r="G30" s="3" t="s">
        <v>70</v>
      </c>
      <c r="H30" s="4" t="s">
        <v>126</v>
      </c>
    </row>
    <row r="31" spans="2:8" x14ac:dyDescent="0.25">
      <c r="B31" s="7">
        <f t="shared" si="0"/>
        <v>30</v>
      </c>
      <c r="C31" s="6" t="s">
        <v>2</v>
      </c>
      <c r="D31" s="6" t="s">
        <v>5</v>
      </c>
      <c r="E31" s="3" t="s">
        <v>16</v>
      </c>
      <c r="F31" s="2">
        <v>30008906</v>
      </c>
      <c r="G31" s="3" t="s">
        <v>50</v>
      </c>
      <c r="H31" s="4" t="s">
        <v>106</v>
      </c>
    </row>
    <row r="32" spans="2:8" x14ac:dyDescent="0.25">
      <c r="B32" s="7">
        <f t="shared" si="0"/>
        <v>31</v>
      </c>
      <c r="C32" s="6" t="s">
        <v>2</v>
      </c>
      <c r="D32" s="6" t="s">
        <v>5</v>
      </c>
      <c r="E32" s="3" t="s">
        <v>16</v>
      </c>
      <c r="F32" s="2">
        <v>30008746</v>
      </c>
      <c r="G32" s="3" t="s">
        <v>45</v>
      </c>
      <c r="H32" s="4" t="s">
        <v>101</v>
      </c>
    </row>
    <row r="33" spans="2:8" x14ac:dyDescent="0.25">
      <c r="B33" s="7">
        <f t="shared" si="0"/>
        <v>32</v>
      </c>
      <c r="C33" s="6" t="s">
        <v>2</v>
      </c>
      <c r="D33" s="6" t="s">
        <v>5</v>
      </c>
      <c r="E33" s="3" t="s">
        <v>17</v>
      </c>
      <c r="F33" s="2">
        <v>30008673</v>
      </c>
      <c r="G33" s="3" t="s">
        <v>43</v>
      </c>
      <c r="H33" s="4" t="s">
        <v>99</v>
      </c>
    </row>
    <row r="34" spans="2:8" x14ac:dyDescent="0.25">
      <c r="B34" s="7">
        <f t="shared" si="0"/>
        <v>33</v>
      </c>
      <c r="C34" s="6" t="s">
        <v>2</v>
      </c>
      <c r="D34" s="6" t="s">
        <v>5</v>
      </c>
      <c r="E34" s="3" t="s">
        <v>18</v>
      </c>
      <c r="F34" s="2">
        <v>30008579</v>
      </c>
      <c r="G34" s="3" t="s">
        <v>39</v>
      </c>
      <c r="H34" s="4" t="s">
        <v>95</v>
      </c>
    </row>
    <row r="35" spans="2:8" x14ac:dyDescent="0.25">
      <c r="B35" s="7">
        <f t="shared" si="0"/>
        <v>34</v>
      </c>
      <c r="C35" s="6" t="s">
        <v>2</v>
      </c>
      <c r="D35" s="6" t="s">
        <v>5</v>
      </c>
      <c r="E35" s="3" t="s">
        <v>18</v>
      </c>
      <c r="F35" s="2">
        <v>30009033</v>
      </c>
      <c r="G35" s="3" t="s">
        <v>64</v>
      </c>
      <c r="H35" s="4" t="s">
        <v>120</v>
      </c>
    </row>
    <row r="36" spans="2:8" x14ac:dyDescent="0.25">
      <c r="B36" s="7">
        <f t="shared" si="0"/>
        <v>35</v>
      </c>
      <c r="C36" s="6" t="s">
        <v>2</v>
      </c>
      <c r="D36" s="6" t="s">
        <v>5</v>
      </c>
      <c r="E36" s="3" t="s">
        <v>18</v>
      </c>
      <c r="F36" s="2">
        <v>30010458</v>
      </c>
      <c r="G36" s="3" t="s">
        <v>75</v>
      </c>
      <c r="H36" s="4" t="s">
        <v>131</v>
      </c>
    </row>
    <row r="37" spans="2:8" x14ac:dyDescent="0.25">
      <c r="B37" s="7">
        <f t="shared" si="0"/>
        <v>36</v>
      </c>
      <c r="C37" s="6" t="s">
        <v>2</v>
      </c>
      <c r="D37" s="6" t="s">
        <v>5</v>
      </c>
      <c r="E37" s="3" t="s">
        <v>19</v>
      </c>
      <c r="F37" s="2">
        <v>30009217</v>
      </c>
      <c r="G37" s="3" t="s">
        <v>54</v>
      </c>
      <c r="H37" s="4" t="s">
        <v>110</v>
      </c>
    </row>
    <row r="38" spans="2:8" x14ac:dyDescent="0.25">
      <c r="B38" s="7">
        <f t="shared" si="0"/>
        <v>37</v>
      </c>
      <c r="C38" s="6" t="s">
        <v>2</v>
      </c>
      <c r="D38" s="6" t="s">
        <v>5</v>
      </c>
      <c r="E38" s="3" t="s">
        <v>19</v>
      </c>
      <c r="F38" s="2">
        <v>30010062</v>
      </c>
      <c r="G38" s="3" t="s">
        <v>60</v>
      </c>
      <c r="H38" s="4" t="s">
        <v>116</v>
      </c>
    </row>
    <row r="39" spans="2:8" x14ac:dyDescent="0.25">
      <c r="B39" s="7">
        <f t="shared" si="0"/>
        <v>38</v>
      </c>
      <c r="C39" s="6" t="s">
        <v>2</v>
      </c>
      <c r="D39" s="6" t="s">
        <v>5</v>
      </c>
      <c r="E39" s="3" t="s">
        <v>19</v>
      </c>
      <c r="F39" s="2">
        <v>30008136</v>
      </c>
      <c r="G39" s="3" t="s">
        <v>76</v>
      </c>
      <c r="H39" s="4" t="s">
        <v>132</v>
      </c>
    </row>
    <row r="40" spans="2:8" x14ac:dyDescent="0.25">
      <c r="B40" s="7">
        <f t="shared" si="0"/>
        <v>39</v>
      </c>
      <c r="C40" s="6" t="s">
        <v>2</v>
      </c>
      <c r="D40" s="6" t="s">
        <v>5</v>
      </c>
      <c r="E40" s="3" t="s">
        <v>20</v>
      </c>
      <c r="F40" s="2">
        <v>30011691</v>
      </c>
      <c r="G40" s="3" t="s">
        <v>72</v>
      </c>
      <c r="H40" s="4" t="s">
        <v>128</v>
      </c>
    </row>
    <row r="41" spans="2:8" x14ac:dyDescent="0.25">
      <c r="B41" s="7">
        <f t="shared" si="0"/>
        <v>40</v>
      </c>
      <c r="C41" s="6" t="s">
        <v>2</v>
      </c>
      <c r="D41" s="6" t="s">
        <v>5</v>
      </c>
      <c r="E41" s="3" t="s">
        <v>20</v>
      </c>
      <c r="F41" s="2">
        <v>30005763</v>
      </c>
      <c r="G41" s="3" t="s">
        <v>74</v>
      </c>
      <c r="H41" s="4" t="s">
        <v>130</v>
      </c>
    </row>
    <row r="42" spans="2:8" x14ac:dyDescent="0.25">
      <c r="B42" s="7">
        <f t="shared" si="0"/>
        <v>41</v>
      </c>
      <c r="C42" s="6" t="s">
        <v>2</v>
      </c>
      <c r="D42" s="6" t="s">
        <v>5</v>
      </c>
      <c r="E42" s="3" t="s">
        <v>21</v>
      </c>
      <c r="F42" s="2">
        <v>30008935</v>
      </c>
      <c r="G42" s="3" t="s">
        <v>52</v>
      </c>
      <c r="H42" s="4" t="s">
        <v>108</v>
      </c>
    </row>
  </sheetData>
  <autoFilter ref="B1:I42" xr:uid="{EC9E2398-9C37-4387-BD38-014652A57577}"/>
  <conditionalFormatting sqref="F1:F42">
    <cfRule type="expression" dxfId="2" priority="242" stopIfTrue="1">
      <formula>AND(COUNTIF($B$1:$B$32, F1)+COUNTIF($B$33:$B$65358, F1)&gt;1,NOT(ISBLANK(F1)))</formula>
    </cfRule>
  </conditionalFormatting>
  <conditionalFormatting sqref="G1">
    <cfRule type="expression" dxfId="1" priority="1" stopIfTrue="1">
      <formula>AND(COUNTIF(#REF!,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G1)+COUNTIF(#REF!, G1)&gt;1,NOT(ISBLANK(G1)))</formula>
    </cfRule>
  </conditionalFormatting>
  <conditionalFormatting sqref="G2:G42">
    <cfRule type="expression" dxfId="0" priority="241" stopIfTrue="1">
      <formula>AND(COUNTIF($I$3:$I$32, G2)+COUNTIF($I$31:$I$34, G2)&gt;1,NOT(ISBLANK(G2)))</formula>
    </cfRule>
  </conditionalFormatting>
  <hyperlinks>
    <hyperlink ref="G29" r:id="rId1" xr:uid="{93E93D1D-73BF-4A95-A223-B8C4F30D8F43}"/>
    <hyperlink ref="G18" r:id="rId2" xr:uid="{0326FB3A-9FE3-4099-9C63-2FCFD2E0F48C}"/>
    <hyperlink ref="G36" r:id="rId3" xr:uid="{07C45CC7-0206-4708-8ECB-73F9A40BC44C}"/>
    <hyperlink ref="G22" r:id="rId4" xr:uid="{50CC301E-20BE-44D8-94E9-E4EE477F0F0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78f9de-f46b-4407-bb7c-faf0f3cb7fd0" xsi:nil="true"/>
    <MigrationWizIdPermissions xmlns="5d78f9de-f46b-4407-bb7c-faf0f3cb7fd0" xsi:nil="true"/>
    <MigrationWizId xmlns="5d78f9de-f46b-4407-bb7c-faf0f3cb7fd0" xsi:nil="true"/>
    <MigrationWizIdVersion xmlns="5d78f9de-f46b-4407-bb7c-faf0f3cb7fd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922C2DD7A374FA560F22F8D1259FE" ma:contentTypeVersion="19" ma:contentTypeDescription="Create a new document." ma:contentTypeScope="" ma:versionID="b8cd667aff2f9a92aaa8f17322f38616">
  <xsd:schema xmlns:xsd="http://www.w3.org/2001/XMLSchema" xmlns:xs="http://www.w3.org/2001/XMLSchema" xmlns:p="http://schemas.microsoft.com/office/2006/metadata/properties" xmlns:ns3="5d78f9de-f46b-4407-bb7c-faf0f3cb7fd0" xmlns:ns4="dd7bb5cb-5cf8-4de9-bf7d-51b97c76b0d5" targetNamespace="http://schemas.microsoft.com/office/2006/metadata/properties" ma:root="true" ma:fieldsID="e340f0b92ddb0f4a788b7b76cf6a11b5" ns3:_="" ns4:_="">
    <xsd:import namespace="5d78f9de-f46b-4407-bb7c-faf0f3cb7fd0"/>
    <xsd:import namespace="dd7bb5cb-5cf8-4de9-bf7d-51b97c76b0d5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Version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8f9de-f46b-4407-bb7c-faf0f3cb7fd0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bb5cb-5cf8-4de9-bf7d-51b97c76b0d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A9443-32E6-46EA-BE41-E3AF98F937E8}">
  <ds:schemaRefs>
    <ds:schemaRef ds:uri="http://schemas.microsoft.com/office/2006/documentManagement/types"/>
    <ds:schemaRef ds:uri="5d78f9de-f46b-4407-bb7c-faf0f3cb7fd0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dd7bb5cb-5cf8-4de9-bf7d-51b97c76b0d5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F49EDAA-5189-4456-96FB-BB216E50D6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E99F91-524B-4960-8AA9-89E17792E2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78f9de-f46b-4407-bb7c-faf0f3cb7fd0"/>
    <ds:schemaRef ds:uri="dd7bb5cb-5cf8-4de9-bf7d-51b97c76b0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HOD</vt:lpstr>
      <vt:lpstr>N+1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Maurya</dc:creator>
  <cp:lastModifiedBy>Ashiq Ali</cp:lastModifiedBy>
  <dcterms:created xsi:type="dcterms:W3CDTF">2026-08-29T05:29:55Z</dcterms:created>
  <dcterms:modified xsi:type="dcterms:W3CDTF">2026-09-23T06:09:40Z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0x0101006EF922C2DD7A374FA560F22F8D1259FE</vt:lpwstr>
  </property>
</Properties>
</file>